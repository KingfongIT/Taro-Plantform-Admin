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2c9ddc5c854677" /><Relationship Type="http://schemas.openxmlformats.org/officeDocument/2006/relationships/extended-properties" Target="docProps/app.xml" Id="rId1" /><Relationship Type="http://schemas.openxmlformats.org/package/2006/relationships/metadata/core-properties" Target="package/services/metadata/core-properties/0c7fd9904fe64348ae73a0b14012454f.psmdcp" Id="R47b98133f4f04461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分潤結算明細" sheetId="1" r:id="rId2"/>
    <sheet name="發佣比例表" sheetId="2" r:id="rId3"/>
    <sheet name="商品收入總表" sheetId="3" r:id="rId4"/>
  </sheets>
  <definedNames/>
  <calcPr calcId="125725"/>
</workbook>
</file>

<file path=xl/calcChain.xml><?xml version="1.0" encoding="utf-8"?>
<calcChain xmlns="http://schemas.openxmlformats.org/spreadsheetml/2006/main">
  <c r="F24" i="1"/>
  <c r="G24" i="1"/>
  <c r="H24" i="1"/>
  <c r="I24" i="1"/>
  <c r="J24" i="1"/>
  <c r="L24" i="1"/>
  <c r="C9" i="2"/>
  <c r="C17" i="3"/>
  <c r="D17" i="3"/>
  <c r="E17" i="3"/>
</calcChain>
</file>

<file path=xl/sharedStrings.xml><?xml version="1.0" encoding="utf-8"?>
<sst xmlns="http://schemas.openxmlformats.org/spreadsheetml/2006/main">
  <si>
    <t>金豐企業管理顧問股份有限公司</t>
  </si>
  <si>
    <t>月份：2026-04</t>
  </si>
  <si>
    <t>列印日期：2026-05-28</t>
  </si>
  <si>
    <t>佣金總表</t>
  </si>
  <si>
    <t>訂單編號</t>
  </si>
  <si>
    <t>商品名稱</t>
  </si>
  <si>
    <t>商品規格</t>
  </si>
  <si>
    <t>姓名</t>
  </si>
  <si>
    <t>代理位階</t>
  </si>
  <si>
    <t>銷售獎金</t>
  </si>
  <si>
    <t>輔導獎金</t>
  </si>
  <si>
    <t>同階獎金</t>
  </si>
  <si>
    <t>超越獎金</t>
  </si>
  <si>
    <t>經營獎金</t>
  </si>
  <si>
    <t/>
  </si>
  <si>
    <t>實發飼料</t>
  </si>
  <si>
    <t>AD001-006-20260416-001</t>
  </si>
  <si>
    <t>企業智慧人資差勤管理系統(B版)</t>
  </si>
  <si>
    <t>企業智慧人資差勤管理系統(B版)-10人以下使用</t>
  </si>
  <si>
    <t>粟靜</t>
  </si>
  <si>
    <t>介紹人(永久免費)</t>
  </si>
  <si>
    <t>AD001-012-20260416-005</t>
  </si>
  <si>
    <t>企業薪資管理軟體系統(D版)</t>
  </si>
  <si>
    <t>企業薪資管理軟體系統D版-30人以下使用</t>
  </si>
  <si>
    <t>余祥玉</t>
  </si>
  <si>
    <t>AD001-007-20260416-004</t>
  </si>
  <si>
    <t>企業OA行動辦公室系統軟體(C版)</t>
  </si>
  <si>
    <t>企業OA行動辦公室系統-30人以下使用</t>
  </si>
  <si>
    <t>金小豐</t>
  </si>
  <si>
    <t>一級代理商(一年約)</t>
  </si>
  <si>
    <t>AD001-009-20260416-003</t>
  </si>
  <si>
    <t>企業智慧人資差勤管理系統(B版)-100人以下使用</t>
  </si>
  <si>
    <t>董峰如</t>
  </si>
  <si>
    <t>創業中心代理商(永久免費)</t>
  </si>
  <si>
    <t>AD001-007-20260416-002</t>
  </si>
  <si>
    <t>企業智慧人資差勤管理系統(B版)-30人以下使用</t>
  </si>
  <si>
    <t>全部加總</t>
  </si>
  <si>
    <t>列印日期：2026/05/28</t>
  </si>
  <si>
    <t>總收入</t>
  </si>
  <si>
    <t>合計</t>
  </si>
  <si>
    <t>發佣比例表</t>
  </si>
  <si>
    <t>項目</t>
  </si>
  <si>
    <t>金額</t>
  </si>
  <si>
    <t>比例</t>
  </si>
  <si>
    <t>商品收入總表</t>
  </si>
  <si>
    <t>規格</t>
  </si>
  <si>
    <t>數量</t>
  </si>
  <si>
    <t>收入</t>
  </si>
  <si>
    <t>DFYC</t>
  </si>
  <si>
    <t>UFYC</t>
  </si>
  <si>
    <t>【企業講座】「勞動事件法及性工法及勞工職業災害保險及保護法」通過後，企業如何因應</t>
  </si>
  <si>
    <t>【企業講座】「勞動事件法及性工法及勞工職業災害保險及保護法」通過後，企業如何因應｜【台中場】2026/04/14(二) 下午13:30～下午5:00 台中市西屯區安和路129號5樓 福華飯店(會議中心)。截止日: 2026年04月07日(二) 17:00前</t>
  </si>
  <si>
    <t>【企業講座】「勞動事件法及性工法及勞工職業災害保險及保護法」通過後，企業如何因應｜【台北場】2026/03/17(二) 下午13:30～下午5:00 台北市中山區植福路8號 典華飯店。截止日: 2026年03月10日(二) 12:00前。</t>
  </si>
  <si>
    <t>企業智慧人事差勤管理系統軟體培訓(2日班)</t>
  </si>
  <si>
    <t>金豐全面管理專案有效客戶(免費課程)｜2026年04月16日-04月17日(台中線下視訊二日課程)，報名截止日：2026年04月06日</t>
  </si>
  <si>
    <t>金豐全面管理專案有效客戶(免費課程)｜2026年04月16日-04月17日(高雄線下二日課程)，報名截止日：2026年04月06日</t>
  </si>
  <si>
    <t>透過AI學習勞動法律知識(1日班)</t>
  </si>
  <si>
    <t>透過AI學習勞動法律知識(1日班) (特殊身份人員免費課程)｜2026年4月14日台中線上視訊課程，報名截止日：2026年4月2日</t>
  </si>
  <si>
    <t>透過AI學習勞動法律知識(1日班) (特殊身份人員免費課程)｜2026年5月19日線上視訊課程，報名截止日：2026年5月8日</t>
  </si>
  <si>
    <t>總合計</t>
  </si>
</sst>
</file>

<file path=xl/styles.xml><?xml version="1.0" encoding="utf-8"?>
<styleSheet xmlns="http://schemas.openxmlformats.org/spreadsheetml/2006/main">
  <numFmts count="2">
    <numFmt numFmtId="0" formatCode=""/>
    <numFmt numFmtId="164" formatCode="0.00%"/>
  </numFmts>
  <fonts count="4">
    <font>
      <vertAlign val="baseline"/>
      <sz val="11"/>
      <color rgb="FF000000"/>
      <name val="Calibri"/>
      <family val="2"/>
    </font>
    <font>
      <b/>
      <vertAlign val="baseline"/>
      <sz val="16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b/>
      <vertAlign val="baseline"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89CFF0"/>
      </patternFill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7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  <xf numFmtId="0" fontId="2" fillId="2" borderId="0" applyNumberFormat="1" applyFill="0" applyBorder="0" applyAlignment="1" applyProtection="1">
      <protection locked="1" hidden="0"/>
    </xf>
    <xf numFmtId="0" fontId="3" fillId="0" borderId="0" applyNumberFormat="1" applyFill="1" applyBorder="0" applyAlignment="1" applyProtection="1">
      <protection locked="1" hidden="0"/>
    </xf>
    <xf numFmtId="0" fontId="2" fillId="3" borderId="0" applyNumberFormat="1" applyFill="0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</cellStyleXfs>
  <cellXfs count="10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center" vertical="bottom" textRotation="0" wrapText="0" indent="0" relativeIndent="0" justifyLastLine="0" shrinkToFit="0" readingOrder="0"/>
      <protection locked="1" hidden="0"/>
    </xf>
    <xf numFmtId="0" fontId="2" fillId="2" borderId="0" xfId="0" applyNumberFormat="1" applyFill="0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3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center" vertical="bottom" textRotation="0" wrapText="0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2" fillId="3" borderId="0" xfId="0" applyNumberFormat="1" applyFill="0" applyBorder="0" applyAlignment="1" applyProtection="1">
      <alignment horizontal="center" vertical="bottom" textRotation="0" wrapText="0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2" fillId="3" borderId="0" xfId="0" applyNumberFormat="1" applyFill="0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5" /><Relationship Type="http://schemas.openxmlformats.org/officeDocument/2006/relationships/styles" Target="styles.xml" Id="rId6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calcChain" Target="calcChain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L24"/>
  <sheetViews>
    <sheetView workbookViewId="0"/>
  </sheetViews>
  <sheetFormatPr defaultRowHeight="15"/>
  <cols>
    <col min="1" max="1" width="23.282054" style="0" customWidth="1"/>
    <col min="2" max="2" width="18.710625" style="0" customWidth="1"/>
    <col min="3" max="3" width="25.996339" style="0" customWidth="1"/>
    <col min="4" max="4" width="3.996339" style="0" customWidth="1"/>
    <col min="5" max="5" width="13.710625" style="0" customWidth="1"/>
    <col min="6" max="6" width="6.567768" style="0" customWidth="1"/>
    <col min="7" max="7" width="5.567768" style="0" customWidth="1"/>
    <col min="8" max="10" width="4.996339" style="0" customWidth="1"/>
    <col min="11" max="11" width="9.140625" style="0" customWidth="1"/>
    <col min="12" max="12" width="7.853482" style="0" customWidth="1"/>
  </cols>
  <sheetData>
    <row r="1" spans="1:12" s="1" customFormat="1">
      <c r="A1" s="1" t="s">
        <v>0</v>
      </c>
    </row>
    <row r="2" spans="1:12">
      <c r="A2" s="0" t="s">
        <v>1</v>
      </c>
      <c r="J2" s="0" t="s">
        <v>2</v>
      </c>
    </row>
    <row r="4" spans="1:12" s="2" customFormat="1">
      <c r="A4" s="2" t="s">
        <v>3</v>
      </c>
    </row>
    <row r="6" spans="1:12" s="3" customForma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</row>
    <row r="7" spans="1:12">
      <c r="A7" s="0" t="s">
        <v>16</v>
      </c>
      <c r="B7" s="0" t="s">
        <v>17</v>
      </c>
      <c r="C7" s="0" t="s">
        <v>18</v>
      </c>
      <c r="D7" s="0" t="s">
        <v>19</v>
      </c>
      <c r="E7" s="0" t="s">
        <v>20</v>
      </c>
      <c r="F7" s="0">
        <v>67.5</v>
      </c>
      <c r="G7" s="0">
        <v>0</v>
      </c>
      <c r="H7" s="0">
        <v>0</v>
      </c>
      <c r="I7" s="0">
        <v>0</v>
      </c>
      <c r="J7" s="0">
        <v>0</v>
      </c>
      <c r="L7" s="0">
        <v>67.5</v>
      </c>
    </row>
    <row r="8" spans="1:12">
      <c r="A8" s="0" t="s">
        <v>21</v>
      </c>
      <c r="B8" s="0" t="s">
        <v>22</v>
      </c>
      <c r="C8" s="0" t="s">
        <v>23</v>
      </c>
      <c r="D8" s="0" t="s">
        <v>24</v>
      </c>
      <c r="E8" s="0" t="s">
        <v>20</v>
      </c>
      <c r="F8" s="0">
        <v>0</v>
      </c>
      <c r="G8" s="0">
        <v>0</v>
      </c>
      <c r="H8" s="0">
        <v>67.5</v>
      </c>
      <c r="I8" s="0">
        <v>0</v>
      </c>
      <c r="J8" s="0">
        <v>0</v>
      </c>
      <c r="L8" s="0">
        <v>67.5</v>
      </c>
    </row>
    <row r="9" spans="1:12">
      <c r="A9" s="0" t="s">
        <v>21</v>
      </c>
      <c r="B9" s="0" t="s">
        <v>22</v>
      </c>
      <c r="C9" s="0" t="s">
        <v>23</v>
      </c>
      <c r="D9" s="0" t="s">
        <v>19</v>
      </c>
      <c r="E9" s="0" t="s">
        <v>20</v>
      </c>
      <c r="F9" s="0">
        <v>202.5</v>
      </c>
      <c r="G9" s="0">
        <v>0</v>
      </c>
      <c r="H9" s="0">
        <v>0</v>
      </c>
      <c r="I9" s="0">
        <v>0</v>
      </c>
      <c r="J9" s="0">
        <v>0</v>
      </c>
      <c r="L9" s="0">
        <v>202.5</v>
      </c>
    </row>
    <row r="10" spans="1:12">
      <c r="A10" s="0" t="s">
        <v>25</v>
      </c>
      <c r="B10" s="0" t="s">
        <v>26</v>
      </c>
      <c r="C10" s="0" t="s">
        <v>27</v>
      </c>
      <c r="D10" s="0" t="s">
        <v>28</v>
      </c>
      <c r="E10" s="0" t="s">
        <v>29</v>
      </c>
      <c r="F10" s="0">
        <v>78.75</v>
      </c>
      <c r="G10" s="0">
        <v>0</v>
      </c>
      <c r="H10" s="0">
        <v>0</v>
      </c>
      <c r="I10" s="0">
        <v>0</v>
      </c>
      <c r="J10" s="0">
        <v>0</v>
      </c>
      <c r="L10" s="0">
        <v>78.75</v>
      </c>
    </row>
    <row r="11" spans="1:12">
      <c r="A11" s="0" t="s">
        <v>30</v>
      </c>
      <c r="B11" s="0" t="s">
        <v>17</v>
      </c>
      <c r="C11" s="0" t="s">
        <v>31</v>
      </c>
      <c r="D11" s="0" t="s">
        <v>32</v>
      </c>
      <c r="E11" s="0" t="s">
        <v>33</v>
      </c>
      <c r="F11" s="0">
        <v>0</v>
      </c>
      <c r="G11" s="0">
        <v>0</v>
      </c>
      <c r="H11" s="0">
        <v>0</v>
      </c>
      <c r="I11" s="0">
        <v>0</v>
      </c>
      <c r="J11" s="0">
        <v>180</v>
      </c>
      <c r="L11" s="0">
        <v>180</v>
      </c>
    </row>
    <row r="12" spans="1:12">
      <c r="A12" s="0" t="s">
        <v>30</v>
      </c>
      <c r="B12" s="0" t="s">
        <v>17</v>
      </c>
      <c r="C12" s="0" t="s">
        <v>31</v>
      </c>
      <c r="D12" s="0" t="s">
        <v>32</v>
      </c>
      <c r="E12" s="0" t="s">
        <v>33</v>
      </c>
      <c r="F12" s="0">
        <v>0</v>
      </c>
      <c r="G12" s="0">
        <v>450</v>
      </c>
      <c r="H12" s="0">
        <v>0</v>
      </c>
      <c r="I12" s="0">
        <v>0</v>
      </c>
      <c r="J12" s="0">
        <v>0</v>
      </c>
      <c r="L12" s="0">
        <v>450</v>
      </c>
    </row>
    <row r="13" spans="1:12">
      <c r="A13" s="0" t="s">
        <v>30</v>
      </c>
      <c r="B13" s="0" t="s">
        <v>17</v>
      </c>
      <c r="C13" s="0" t="s">
        <v>31</v>
      </c>
      <c r="D13" s="0" t="s">
        <v>24</v>
      </c>
      <c r="E13" s="0" t="s">
        <v>20</v>
      </c>
      <c r="F13" s="0">
        <v>0</v>
      </c>
      <c r="G13" s="0">
        <v>0</v>
      </c>
      <c r="H13" s="0">
        <v>90</v>
      </c>
      <c r="I13" s="0">
        <v>0</v>
      </c>
      <c r="J13" s="0">
        <v>0</v>
      </c>
      <c r="L13" s="0">
        <v>90</v>
      </c>
    </row>
    <row r="14" spans="1:12">
      <c r="A14" s="0" t="s">
        <v>21</v>
      </c>
      <c r="B14" s="0" t="s">
        <v>22</v>
      </c>
      <c r="C14" s="0" t="s">
        <v>23</v>
      </c>
      <c r="D14" s="0" t="s">
        <v>32</v>
      </c>
      <c r="E14" s="0" t="s">
        <v>33</v>
      </c>
      <c r="F14" s="0">
        <v>0</v>
      </c>
      <c r="G14" s="0">
        <v>337.5</v>
      </c>
      <c r="H14" s="0">
        <v>0</v>
      </c>
      <c r="I14" s="0">
        <v>0</v>
      </c>
      <c r="J14" s="0">
        <v>0</v>
      </c>
      <c r="L14" s="0">
        <v>337.5</v>
      </c>
    </row>
    <row r="15" spans="1:12">
      <c r="A15" s="0" t="s">
        <v>30</v>
      </c>
      <c r="B15" s="0" t="s">
        <v>17</v>
      </c>
      <c r="C15" s="0" t="s">
        <v>31</v>
      </c>
      <c r="D15" s="0" t="s">
        <v>19</v>
      </c>
      <c r="E15" s="0" t="s">
        <v>20</v>
      </c>
      <c r="F15" s="0">
        <v>270</v>
      </c>
      <c r="G15" s="0">
        <v>0</v>
      </c>
      <c r="H15" s="0">
        <v>0</v>
      </c>
      <c r="I15" s="0">
        <v>0</v>
      </c>
      <c r="J15" s="0">
        <v>0</v>
      </c>
      <c r="L15" s="0">
        <v>270</v>
      </c>
    </row>
    <row r="16" spans="1:12">
      <c r="A16" s="0" t="s">
        <v>34</v>
      </c>
      <c r="B16" s="0" t="s">
        <v>17</v>
      </c>
      <c r="C16" s="0" t="s">
        <v>35</v>
      </c>
      <c r="D16" s="0" t="s">
        <v>32</v>
      </c>
      <c r="E16" s="0" t="s">
        <v>33</v>
      </c>
      <c r="F16" s="0">
        <v>0</v>
      </c>
      <c r="G16" s="0">
        <v>225</v>
      </c>
      <c r="H16" s="0">
        <v>0</v>
      </c>
      <c r="I16" s="0">
        <v>0</v>
      </c>
      <c r="J16" s="0">
        <v>0</v>
      </c>
      <c r="L16" s="0">
        <v>225</v>
      </c>
    </row>
    <row r="17" spans="1:12">
      <c r="A17" s="0" t="s">
        <v>34</v>
      </c>
      <c r="B17" s="0" t="s">
        <v>17</v>
      </c>
      <c r="C17" s="0" t="s">
        <v>35</v>
      </c>
      <c r="D17" s="0" t="s">
        <v>24</v>
      </c>
      <c r="E17" s="0" t="s">
        <v>20</v>
      </c>
      <c r="F17" s="0">
        <v>0</v>
      </c>
      <c r="G17" s="0">
        <v>0</v>
      </c>
      <c r="H17" s="0">
        <v>45</v>
      </c>
      <c r="I17" s="0">
        <v>0</v>
      </c>
      <c r="J17" s="0">
        <v>0</v>
      </c>
      <c r="L17" s="0">
        <v>45</v>
      </c>
    </row>
    <row r="18" spans="1:12">
      <c r="A18" s="0" t="s">
        <v>34</v>
      </c>
      <c r="B18" s="0" t="s">
        <v>17</v>
      </c>
      <c r="C18" s="0" t="s">
        <v>35</v>
      </c>
      <c r="D18" s="0" t="s">
        <v>19</v>
      </c>
      <c r="E18" s="0" t="s">
        <v>20</v>
      </c>
      <c r="F18" s="0">
        <v>135</v>
      </c>
      <c r="G18" s="0">
        <v>0</v>
      </c>
      <c r="H18" s="0">
        <v>0</v>
      </c>
      <c r="I18" s="0">
        <v>0</v>
      </c>
      <c r="J18" s="0">
        <v>0</v>
      </c>
      <c r="L18" s="0">
        <v>135</v>
      </c>
    </row>
    <row r="19" spans="1:12">
      <c r="A19" s="0" t="s">
        <v>16</v>
      </c>
      <c r="B19" s="0" t="s">
        <v>17</v>
      </c>
      <c r="C19" s="0" t="s">
        <v>18</v>
      </c>
      <c r="D19" s="0" t="s">
        <v>32</v>
      </c>
      <c r="E19" s="0" t="s">
        <v>33</v>
      </c>
      <c r="F19" s="0">
        <v>0</v>
      </c>
      <c r="G19" s="0">
        <v>0</v>
      </c>
      <c r="H19" s="0">
        <v>0</v>
      </c>
      <c r="I19" s="0">
        <v>0</v>
      </c>
      <c r="J19" s="0">
        <v>45</v>
      </c>
      <c r="L19" s="0">
        <v>45</v>
      </c>
    </row>
    <row r="20" spans="1:12">
      <c r="A20" s="0" t="s">
        <v>16</v>
      </c>
      <c r="B20" s="0" t="s">
        <v>17</v>
      </c>
      <c r="C20" s="0" t="s">
        <v>18</v>
      </c>
      <c r="D20" s="0" t="s">
        <v>32</v>
      </c>
      <c r="E20" s="0" t="s">
        <v>33</v>
      </c>
      <c r="F20" s="0">
        <v>0</v>
      </c>
      <c r="G20" s="0">
        <v>112.5</v>
      </c>
      <c r="H20" s="0">
        <v>0</v>
      </c>
      <c r="I20" s="0">
        <v>0</v>
      </c>
      <c r="J20" s="0">
        <v>0</v>
      </c>
      <c r="L20" s="0">
        <v>112.5</v>
      </c>
    </row>
    <row r="21" spans="1:12">
      <c r="A21" s="0" t="s">
        <v>16</v>
      </c>
      <c r="B21" s="0" t="s">
        <v>17</v>
      </c>
      <c r="C21" s="0" t="s">
        <v>18</v>
      </c>
      <c r="D21" s="0" t="s">
        <v>24</v>
      </c>
      <c r="E21" s="0" t="s">
        <v>20</v>
      </c>
      <c r="F21" s="0">
        <v>0</v>
      </c>
      <c r="G21" s="0">
        <v>0</v>
      </c>
      <c r="H21" s="0">
        <v>22.5</v>
      </c>
      <c r="I21" s="0">
        <v>0</v>
      </c>
      <c r="J21" s="0">
        <v>0</v>
      </c>
      <c r="L21" s="0">
        <v>22.5</v>
      </c>
    </row>
    <row r="22" spans="1:12">
      <c r="A22" s="0" t="s">
        <v>34</v>
      </c>
      <c r="B22" s="0" t="s">
        <v>17</v>
      </c>
      <c r="C22" s="0" t="s">
        <v>35</v>
      </c>
      <c r="D22" s="0" t="s">
        <v>32</v>
      </c>
      <c r="E22" s="0" t="s">
        <v>33</v>
      </c>
      <c r="F22" s="0">
        <v>0</v>
      </c>
      <c r="G22" s="0">
        <v>0</v>
      </c>
      <c r="H22" s="0">
        <v>0</v>
      </c>
      <c r="I22" s="0">
        <v>0</v>
      </c>
      <c r="J22" s="0">
        <v>90</v>
      </c>
      <c r="L22" s="0">
        <v>90</v>
      </c>
    </row>
    <row r="23" spans="1:12">
      <c r="A23" s="0" t="s">
        <v>21</v>
      </c>
      <c r="B23" s="0" t="s">
        <v>22</v>
      </c>
      <c r="C23" s="0" t="s">
        <v>23</v>
      </c>
      <c r="D23" s="0" t="s">
        <v>32</v>
      </c>
      <c r="E23" s="0" t="s">
        <v>33</v>
      </c>
      <c r="F23" s="0">
        <v>0</v>
      </c>
      <c r="G23" s="0">
        <v>0</v>
      </c>
      <c r="H23" s="0">
        <v>0</v>
      </c>
      <c r="I23" s="0">
        <v>0</v>
      </c>
      <c r="J23" s="0">
        <v>135</v>
      </c>
      <c r="L23" s="0">
        <v>135</v>
      </c>
    </row>
    <row r="24" spans="1:12" s="4" customFormat="1">
      <c r="E24" s="4" t="s">
        <v>36</v>
      </c>
      <c r="F24" s="4">
        <f>SUM(F6:F23)</f>
      </c>
      <c r="G24" s="4">
        <f>SUM(G6:G23)</f>
      </c>
      <c r="H24" s="4">
        <f>SUM(H6:H23)</f>
      </c>
      <c r="I24" s="4">
        <f>SUM(I6:I23)</f>
      </c>
      <c r="J24" s="4">
        <f>SUM(J6:J23)</f>
      </c>
      <c r="L24" s="4">
        <f>SUM(L6:L23)</f>
      </c>
    </row>
  </sheetData>
  <mergeCells count="3">
    <mergeCell ref="A1:L1"/>
    <mergeCell ref="J2:L2"/>
    <mergeCell ref="A4:L4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D18"/>
  <sheetViews>
    <sheetView workbookViewId="0"/>
  </sheetViews>
  <sheetFormatPr defaultRowHeight="15"/>
  <cols>
    <col min="1" max="1" width="18.710625" style="0" customWidth="1"/>
    <col min="2" max="2" width="25.996339" style="0" customWidth="1"/>
    <col min="3" max="3" width="8.282054" style="0" customWidth="1"/>
    <col min="4" max="4" width="16.282054" style="0" customWidth="1"/>
  </cols>
  <sheetData>
    <row r="1" spans="1:4">
      <c r="A1" s="5" t="s">
        <v>0</v>
      </c>
      <c r="B1" s="5"/>
      <c r="C1" s="5"/>
      <c r="D1" s="5"/>
    </row>
    <row r="2" spans="1:4">
      <c r="A2" s="0" t="s">
        <v>1</v>
      </c>
      <c r="D2" s="0" t="s">
        <v>37</v>
      </c>
    </row>
    <row r="3" spans="1:4">
      <c r="A3" s="3" t="s">
        <v>5</v>
      </c>
      <c r="B3" s="3" t="s">
        <v>6</v>
      </c>
      <c r="C3" s="3" t="s">
        <v>38</v>
      </c>
      <c r="D3" s="3"/>
    </row>
    <row r="4" spans="1:4">
      <c r="A4" s="0" t="s">
        <v>17</v>
      </c>
      <c r="B4" s="0" t="s">
        <v>18</v>
      </c>
      <c r="C4" s="0">
        <v>247.5</v>
      </c>
    </row>
    <row r="5" spans="1:4">
      <c r="A5" s="0" t="s">
        <v>22</v>
      </c>
      <c r="B5" s="0" t="s">
        <v>23</v>
      </c>
      <c r="C5" s="0">
        <v>742.5</v>
      </c>
    </row>
    <row r="6" spans="1:4">
      <c r="A6" s="0" t="s">
        <v>26</v>
      </c>
      <c r="B6" s="0" t="s">
        <v>27</v>
      </c>
      <c r="C6" s="0">
        <v>78.75</v>
      </c>
    </row>
    <row r="7" spans="1:4">
      <c r="A7" s="0" t="s">
        <v>17</v>
      </c>
      <c r="B7" s="0" t="s">
        <v>31</v>
      </c>
      <c r="C7" s="0">
        <v>990</v>
      </c>
    </row>
    <row r="8" spans="1:4">
      <c r="A8" s="0" t="s">
        <v>17</v>
      </c>
      <c r="B8" s="0" t="s">
        <v>35</v>
      </c>
      <c r="C8" s="0">
        <v>495</v>
      </c>
    </row>
    <row r="9" spans="1:4">
      <c r="A9" s="6" t="s">
        <v>39</v>
      </c>
      <c r="B9" s="6"/>
      <c r="C9" s="6">
        <f>SUM(C4:C8)</f>
      </c>
      <c r="D9" s="6"/>
    </row>
    <row r="11" spans="1:4">
      <c r="A11" s="7" t="s">
        <v>40</v>
      </c>
      <c r="B11" s="7"/>
      <c r="C11" s="7"/>
    </row>
    <row r="12" spans="1:4">
      <c r="A12" s="3" t="s">
        <v>41</v>
      </c>
      <c r="B12" s="3" t="s">
        <v>42</v>
      </c>
      <c r="C12" s="3" t="s">
        <v>43</v>
      </c>
    </row>
    <row r="13" spans="1:4">
      <c r="A13" s="0" t="s">
        <v>9</v>
      </c>
      <c r="B13" s="0">
        <v>753.75</v>
      </c>
      <c r="C13" s="8">
        <v>0.295154185022026</v>
      </c>
    </row>
    <row r="14" spans="1:4">
      <c r="A14" s="0" t="s">
        <v>10</v>
      </c>
      <c r="B14" s="0">
        <v>1125</v>
      </c>
      <c r="C14" s="8">
        <v>0.440528634361234</v>
      </c>
    </row>
    <row r="15" spans="1:4">
      <c r="A15" s="0" t="s">
        <v>11</v>
      </c>
      <c r="B15" s="0">
        <v>225</v>
      </c>
      <c r="C15" s="8">
        <v>0.0881057268722467</v>
      </c>
    </row>
    <row r="16" spans="1:4">
      <c r="A16" s="0" t="s">
        <v>12</v>
      </c>
      <c r="B16" s="0">
        <v>0</v>
      </c>
      <c r="C16" s="8">
        <v>0</v>
      </c>
    </row>
    <row r="17" spans="1:4">
      <c r="A17" s="0" t="s">
        <v>13</v>
      </c>
      <c r="B17" s="0">
        <v>450</v>
      </c>
      <c r="C17" s="8">
        <v>0.176211453744493</v>
      </c>
    </row>
    <row r="18" spans="1:4">
      <c r="A18" s="0" t="s">
        <v>39</v>
      </c>
      <c r="B18" s="0">
        <v>2553.75</v>
      </c>
      <c r="C18" s="8">
        <v>1</v>
      </c>
    </row>
  </sheetData>
  <mergeCells count="2">
    <mergeCell ref="A1:D1"/>
    <mergeCell ref="A11:C11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3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F17"/>
  <sheetViews>
    <sheetView workbookViewId="0"/>
  </sheetViews>
  <sheetFormatPr defaultRowHeight="15"/>
  <cols>
    <col min="1" max="1" width="43.282054" style="0" customWidth="1"/>
    <col min="2" max="2" width="128.710625" style="0" customWidth="1"/>
    <col min="3" max="3" width="2.996339" style="0" customWidth="1"/>
    <col min="4" max="4" width="5.996339" style="0" customWidth="1"/>
    <col min="5" max="6" width="5.424911" style="0" customWidth="1"/>
  </cols>
  <sheetData>
    <row r="1" spans="1:6" s="1" customFormat="1">
      <c r="A1" s="5" t="s">
        <v>0</v>
      </c>
      <c r="B1" s="5"/>
      <c r="C1" s="5"/>
      <c r="D1" s="5"/>
      <c r="E1" s="5"/>
      <c r="F1" s="5"/>
    </row>
    <row r="2" spans="1:6">
      <c r="A2" s="0" t="s">
        <v>1</v>
      </c>
      <c r="C2" s="0" t="s">
        <v>2</v>
      </c>
    </row>
    <row r="3" spans="1:6" s="6" customFormat="1">
      <c r="A3" s="2" t="s">
        <v>44</v>
      </c>
      <c r="B3" s="2"/>
      <c r="C3" s="2"/>
      <c r="D3" s="2"/>
      <c r="E3" s="2"/>
      <c r="F3" s="2"/>
    </row>
    <row r="4" spans="1:6" s="9" customFormat="1">
      <c r="A4" s="9" t="s">
        <v>5</v>
      </c>
      <c r="B4" s="9" t="s">
        <v>45</v>
      </c>
      <c r="C4" s="9" t="s">
        <v>46</v>
      </c>
      <c r="D4" s="9" t="s">
        <v>47</v>
      </c>
      <c r="E4" s="9" t="s">
        <v>48</v>
      </c>
      <c r="F4" s="9" t="s">
        <v>49</v>
      </c>
    </row>
    <row r="5" spans="1:6">
      <c r="A5" s="0" t="s">
        <v>50</v>
      </c>
      <c r="B5" s="0" t="s">
        <v>51</v>
      </c>
      <c r="C5" s="0">
        <v>2</v>
      </c>
      <c r="D5" s="0">
        <v>2000</v>
      </c>
    </row>
    <row r="6" spans="1:6">
      <c r="A6" s="0" t="s">
        <v>50</v>
      </c>
      <c r="B6" s="0" t="s">
        <v>52</v>
      </c>
      <c r="C6" s="0">
        <v>1</v>
      </c>
      <c r="D6" s="0">
        <v>1000</v>
      </c>
    </row>
    <row r="7" spans="1:6">
      <c r="A7" s="0" t="s">
        <v>26</v>
      </c>
      <c r="B7" s="0" t="s">
        <v>27</v>
      </c>
      <c r="C7" s="0">
        <v>1</v>
      </c>
      <c r="D7" s="0">
        <v>500</v>
      </c>
    </row>
    <row r="8" spans="1:6">
      <c r="A8" s="0" t="s">
        <v>53</v>
      </c>
      <c r="B8" s="0" t="s">
        <v>54</v>
      </c>
      <c r="C8" s="0">
        <v>2</v>
      </c>
      <c r="D8" s="0">
        <v>800</v>
      </c>
    </row>
    <row r="9" spans="1:6">
      <c r="A9" s="0" t="s">
        <v>53</v>
      </c>
      <c r="B9" s="0" t="s">
        <v>55</v>
      </c>
      <c r="C9" s="0">
        <v>2</v>
      </c>
      <c r="D9" s="0">
        <v>800</v>
      </c>
    </row>
    <row r="10" spans="1:6">
      <c r="A10" s="0" t="s">
        <v>17</v>
      </c>
      <c r="B10" s="0" t="s">
        <v>31</v>
      </c>
      <c r="C10" s="0">
        <v>1</v>
      </c>
      <c r="D10" s="0">
        <v>4000</v>
      </c>
    </row>
    <row r="11" spans="1:6">
      <c r="A11" s="0" t="s">
        <v>17</v>
      </c>
      <c r="B11" s="0" t="s">
        <v>18</v>
      </c>
      <c r="C11" s="0">
        <v>1</v>
      </c>
      <c r="D11" s="0">
        <v>1000</v>
      </c>
    </row>
    <row r="12" spans="1:6">
      <c r="A12" s="0" t="s">
        <v>17</v>
      </c>
      <c r="B12" s="0" t="s">
        <v>35</v>
      </c>
      <c r="C12" s="0">
        <v>1</v>
      </c>
      <c r="D12" s="0">
        <v>2000</v>
      </c>
    </row>
    <row r="13" spans="1:6">
      <c r="A13" s="0" t="s">
        <v>22</v>
      </c>
      <c r="B13" s="0" t="s">
        <v>23</v>
      </c>
      <c r="C13" s="0">
        <v>1</v>
      </c>
      <c r="D13" s="0">
        <v>3000</v>
      </c>
    </row>
    <row r="14" spans="1:6">
      <c r="A14" s="0" t="s">
        <v>56</v>
      </c>
      <c r="B14" s="0" t="s">
        <v>57</v>
      </c>
      <c r="C14" s="0">
        <v>1</v>
      </c>
      <c r="D14" s="0">
        <v>200</v>
      </c>
    </row>
    <row r="15" spans="1:6">
      <c r="A15" s="0" t="s">
        <v>56</v>
      </c>
      <c r="B15" s="0" t="s">
        <v>58</v>
      </c>
      <c r="C15" s="0">
        <v>1</v>
      </c>
      <c r="D15" s="0">
        <v>200</v>
      </c>
    </row>
    <row r="17" spans="1:6" s="4" customFormat="1">
      <c r="A17" s="4" t="s">
        <v>59</v>
      </c>
      <c r="C17" s="4">
        <f>SUM(C4:C16)</f>
      </c>
      <c r="D17" s="4">
        <f>SUM(D4:D16)</f>
      </c>
      <c r="E17" s="4">
        <f>SUM(E4:E16)</f>
      </c>
    </row>
  </sheetData>
  <mergeCells count="3">
    <mergeCell ref="A1:F1"/>
    <mergeCell ref="C2:F2"/>
    <mergeCell ref="A3:F3"/>
  </mergeCell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TitlesOfParts>
    <vt:vector baseType="lpstr" size="9">
      <vt:lpstr>分潤結算明細</vt:lpstr>
      <vt:lpstr>發佣比例表</vt:lpstr>
      <vt:lpstr>商品收入總表</vt:lpstr>
      <vt:lpstr>分潤結算明細!Print_Area</vt:lpstr>
      <vt:lpstr>分潤結算明細!Print_Titles</vt:lpstr>
      <vt:lpstr>發佣比例表!Print_Area</vt:lpstr>
      <vt:lpstr>發佣比例表!Print_Titles</vt:lpstr>
      <vt:lpstr>商品收入總表!Print_Area</vt:lpstr>
      <vt:lpstr>商品收入總表!Print_Titles</vt:lpstr>
    </vt:vector>
  </TitlesOfParts>
  <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DocSecurity>0</DocSecurity>
  <ScaleCrop>false</ScaleCrop>
</Properties>
</file>